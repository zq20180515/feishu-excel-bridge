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档案" sheetId="1" r:id="rId1"/>
    <sheet name="设备台账" sheetId="2" r:id="rId2"/>
  </sheets>
  <calcPr calcId="0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2BA313D4E064FDCBCE980FA6A0CC111" descr="zhangsan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33500" cy="952500"/>
        </a:xfrm>
        <a:prstGeom prst="rect">
          <a:avLst/>
        </a:prstGeom>
      </xdr:spPr>
    </xdr:pic>
  </etc:cellImage>
  <etc:cellImage>
    <xdr:pic>
      <xdr:nvPicPr>
        <xdr:cNvPr id="3" name="ID_AFF78AFC8F9D4899A217E1CB9825D9DD" descr="lisi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333500" cy="952500"/>
        </a:xfrm>
        <a:prstGeom prst="rect">
          <a:avLst/>
        </a:prstGeom>
      </xdr:spPr>
    </xdr:pic>
  </etc:cellImage>
  <etc:cellImage>
    <xdr:pic>
      <xdr:nvPicPr>
        <xdr:cNvPr id="4" name="ID_7F560E22F6DE495FBFCF566A75EC90E2" descr="wangwu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333500" cy="952500"/>
        </a:xfrm>
        <a:prstGeom prst="rect">
          <a:avLst/>
        </a:prstGeom>
      </xdr:spPr>
    </xdr:pic>
  </etc:cellImage>
  <etc:cellImage>
    <xdr:pic>
      <xdr:nvPicPr>
        <xdr:cNvPr id="5" name="ID_0F5DCA53963F4FC8B8707509B3BF83C9" descr="eq002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1333500" cy="952500"/>
        </a:xfrm>
        <a:prstGeom prst="rect">
          <a:avLst/>
        </a:prstGeom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Relationship Id="rId2" Type="http://schemas.openxmlformats.org/officeDocument/2006/relationships/image" Target="media/image2.png"/><Relationship Id="rId3" Type="http://schemas.openxmlformats.org/officeDocument/2006/relationships/image" Target="media/image3.png"/><Relationship Id="rId4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Relationship Id="rIdCellImages1" Type="http://www.wps.cn/officeDocument/2020/cellImage" Target="cellimag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21.83203125" customWidth="1"/>
    <col min="5" max="5" width="18.83203125" customWidth="1"/>
    <col min="6" max="6" width="12.83203125" customWidth="1"/>
    <col min="7" max="7" width="10.83203125" customWidth="1"/>
  </cols>
  <sheetData>
    <row r="1" ht="24" customHeight="1">
      <c r="A1" t="str">
        <v>工号</v>
      </c>
      <c r="B1" t="str">
        <v>姓名</v>
      </c>
      <c r="C1" t="str">
        <v>部门</v>
      </c>
      <c r="D1" t="str">
        <v>照片</v>
      </c>
      <c r="E1" t="str">
        <v>照片(附件名)</v>
      </c>
      <c r="F1" t="str">
        <v>入职日期</v>
      </c>
      <c r="G1" t="str">
        <v>在职</v>
      </c>
    </row>
    <row r="2" ht="81" customHeight="1">
      <c r="A2" t="str">
        <v>BTN001</v>
      </c>
      <c r="B2" t="str">
        <v>张三</v>
      </c>
      <c r="C2" t="str">
        <v>生产部</v>
      </c>
      <c r="D2" t="str">
        <f>_xlfn.DISPIMG("ID_82BA313D4E064FDCBCE980FA6A0CC111",1)</f>
        <v>=DISPIMG("ID_82BA313D4E064FDCBCE980FA6A0CC111",1)</v>
      </c>
      <c r="E2" t="str">
        <v>zhangsan.png</v>
      </c>
      <c r="F2" t="str">
        <v>2023-03-01 00:00:00</v>
      </c>
      <c r="G2" t="b">
        <v>1</v>
      </c>
    </row>
    <row r="3" ht="81" customHeight="1">
      <c r="A3" t="str">
        <v>BTN002</v>
      </c>
      <c r="B3" t="str">
        <v>李四</v>
      </c>
      <c r="C3" t="str">
        <v>质量部</v>
      </c>
      <c r="D3" t="str">
        <f>_xlfn.DISPIMG("ID_AFF78AFC8F9D4899A217E1CB9825D9DD",1)</f>
        <v>=DISPIMG("ID_AFF78AFC8F9D4899A217E1CB9825D9DD",1)</v>
      </c>
      <c r="E3" t="str">
        <v>lisi.png</v>
      </c>
      <c r="F3" t="str">
        <v>2022-11-15 00:00:00</v>
      </c>
      <c r="G3" t="b">
        <v>1</v>
      </c>
    </row>
    <row r="4" ht="81" customHeight="1">
      <c r="A4" t="str">
        <v>BTN003</v>
      </c>
      <c r="B4" t="str">
        <v>王五</v>
      </c>
      <c r="C4" t="str">
        <v>仓储物流部</v>
      </c>
      <c r="D4" t="str">
        <f>_xlfn.DISPIMG("ID_7F560E22F6DE495FBFCF566A75EC90E2",1)</f>
        <v>=DISPIMG("ID_7F560E22F6DE495FBFCF566A75EC90E2",1)</v>
      </c>
      <c r="E4" t="str">
        <v>wangwu.png</v>
      </c>
      <c r="F4" t="str">
        <v>2024-06-20 00:00:00</v>
      </c>
      <c r="G4" t="b">
        <v>0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2.83203125" customWidth="1"/>
    <col min="3" max="3" width="21.83203125" customWidth="1"/>
    <col min="4" max="4" width="22.83203125" customWidth="1"/>
    <col min="5" max="5" width="10.83203125" customWidth="1"/>
  </cols>
  <sheetData>
    <row r="1" ht="24" customHeight="1">
      <c r="A1" t="str">
        <v>设备编号</v>
      </c>
      <c r="B1" t="str">
        <v>设备名称</v>
      </c>
      <c r="C1" t="str">
        <v>现场照片</v>
      </c>
      <c r="D1" t="str">
        <v>现场照片(附件名)</v>
      </c>
      <c r="E1" t="str">
        <v>状态</v>
      </c>
    </row>
    <row r="2">
      <c r="A2" t="str">
        <v>EQ-001</v>
      </c>
      <c r="B2" t="str">
        <v>灌装机 A</v>
      </c>
      <c r="D2" t="str">
        <v>（无附件）</v>
      </c>
      <c r="E2" t="str">
        <v>正常</v>
      </c>
    </row>
    <row r="3" ht="81" customHeight="1">
      <c r="A3" t="str">
        <v>EQ-002</v>
      </c>
      <c r="B3" t="str">
        <v>封口机 B</v>
      </c>
      <c r="C3" t="str">
        <f>_xlfn.DISPIMG("ID_0F5DCA53963F4FC8B8707509B3BF83C9",1)</f>
        <v>=DISPIMG("ID_0F5DCA53963F4FC8B8707509B3BF83C9",1)</v>
      </c>
      <c r="D3" t="str">
        <v>eq002.png</v>
      </c>
      <c r="E3" t="str">
        <v>维修中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员工档案</vt:lpstr>
      <vt:lpstr>设备台账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