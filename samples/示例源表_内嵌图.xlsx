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档案" sheetId="1" r:id="rId1"/>
    <sheet name="设备台账" sheetId="2" r:id="rId2"/>
  </sheets>
  <calcPr calcId="0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F604B602B0A4145937E83C24BB43BE8" descr="zhangsa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3" name="ID_42701EC827E14B93ADFAAD8F6DF3458B" descr="lisi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4" name="ID_C78E701EA63844AA96A57CEA60AC40EA" descr="wangwu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5" name="ID_ABAF6030D3E64BDB9A55CC2936D7C7A7" descr="eq00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Relationship Id="rId2" Type="http://schemas.openxmlformats.org/officeDocument/2006/relationships/image" Target="media/image2.png"/><Relationship Id="rId3" Type="http://schemas.openxmlformats.org/officeDocument/2006/relationships/image" Target="media/image3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CellImages1" Type="http://www.wps.cn/officeDocument/2020/cellImage" Target="cellimag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1.83203125" customWidth="1"/>
    <col min="5" max="5" width="12.83203125" customWidth="1"/>
    <col min="6" max="6" width="10.83203125" customWidth="1"/>
  </cols>
  <sheetData>
    <row r="1" ht="24" customHeight="1">
      <c r="A1" t="str">
        <v>工号</v>
      </c>
      <c r="B1" t="str">
        <v>姓名</v>
      </c>
      <c r="C1" t="str">
        <v>部门</v>
      </c>
      <c r="D1" t="str">
        <v>照片</v>
      </c>
      <c r="E1" t="str">
        <v>入职日期</v>
      </c>
      <c r="F1" t="str">
        <v>在职</v>
      </c>
    </row>
    <row r="2" ht="81" customHeight="1">
      <c r="A2" t="str">
        <v>BTN001</v>
      </c>
      <c r="B2" t="str">
        <v>张三</v>
      </c>
      <c r="C2" t="str">
        <v>生产部</v>
      </c>
      <c r="D2" t="str">
        <f>_xlfn.DISPIMG("ID_8F604B602B0A4145937E83C24BB43BE8",1)</f>
        <v>=DISPIMG("ID_8F604B602B0A4145937E83C24BB43BE8",1)</v>
      </c>
      <c r="E2" t="str">
        <v>2023-03-01</v>
      </c>
      <c r="F2" t="str">
        <v>是</v>
      </c>
    </row>
    <row r="3" ht="81" customHeight="1">
      <c r="A3" t="str">
        <v>BTN002</v>
      </c>
      <c r="B3" t="str">
        <v>李四</v>
      </c>
      <c r="C3" t="str">
        <v>质量部</v>
      </c>
      <c r="D3" t="str">
        <f>_xlfn.DISPIMG("ID_42701EC827E14B93ADFAAD8F6DF3458B",1)</f>
        <v>=DISPIMG("ID_42701EC827E14B93ADFAAD8F6DF3458B",1)</v>
      </c>
      <c r="E3" t="str">
        <v>2022-11-15</v>
      </c>
      <c r="F3" t="str">
        <v>是</v>
      </c>
    </row>
    <row r="4" ht="81" customHeight="1">
      <c r="A4" t="str">
        <v>BTN003</v>
      </c>
      <c r="B4" t="str">
        <v>王五</v>
      </c>
      <c r="C4" t="str">
        <v>仓储物流部</v>
      </c>
      <c r="D4" t="str">
        <f>_xlfn.DISPIMG("ID_C78E701EA63844AA96A57CEA60AC40EA",1)</f>
        <v>=DISPIMG("ID_C78E701EA63844AA96A57CEA60AC40EA",1)</v>
      </c>
      <c r="E4" t="str">
        <v>2024-06-20</v>
      </c>
      <c r="F4" t="str">
        <v>否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10.83203125" customWidth="1"/>
  </cols>
  <sheetData>
    <row r="1" ht="24" customHeight="1">
      <c r="A1" t="str">
        <v>设备编号</v>
      </c>
      <c r="B1" t="str">
        <v>设备名称</v>
      </c>
      <c r="C1" t="str">
        <v>现场照片</v>
      </c>
      <c r="D1" t="str">
        <v>状态</v>
      </c>
    </row>
    <row r="2">
      <c r="A2" t="str">
        <v>EQ-001</v>
      </c>
      <c r="B2" t="str">
        <v>灌装机 A</v>
      </c>
      <c r="D2" t="str">
        <v>正常</v>
      </c>
    </row>
    <row r="3" ht="81" customHeight="1">
      <c r="A3" t="str">
        <v>EQ-002</v>
      </c>
      <c r="B3" t="str">
        <v>封口机 B</v>
      </c>
      <c r="C3" t="str">
        <f>_xlfn.DISPIMG("ID_ABAF6030D3E64BDB9A55CC2936D7C7A7",1)</f>
        <v>=DISPIMG("ID_ABAF6030D3E64BDB9A55CC2936D7C7A7",1)</v>
      </c>
      <c r="D3" t="str">
        <v>维修中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员工档案</vt:lpstr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